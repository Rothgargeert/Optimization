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date1904="1"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nazan\Desktop\ANLY705\HomeWork8Mar16\"/>
    </mc:Choice>
  </mc:AlternateContent>
  <xr:revisionPtr revIDLastSave="0" documentId="13_ncr:1_{1018E961-9E54-4995-97C1-967A220526BE}" xr6:coauthVersionLast="45" xr6:coauthVersionMax="45" xr10:uidLastSave="{00000000-0000-0000-0000-000000000000}"/>
  <bookViews>
    <workbookView xWindow="-120" yWindow="-120" windowWidth="20730" windowHeight="11160" tabRatio="702" activeTab="1" xr2:uid="{00000000-000D-0000-FFFF-FFFF00000000}"/>
  </bookViews>
  <sheets>
    <sheet name="Current" sheetId="6" r:id="rId1"/>
    <sheet name="Proposal 1" sheetId="2052" r:id="rId2"/>
    <sheet name="Proposal 2" sheetId="2055" r:id="rId3"/>
    <sheet name="Proposal 1 &amp; 2" sheetId="2057" r:id="rId4"/>
    <sheet name="Queuing Simulator" sheetId="2058" r:id="rId5"/>
  </sheets>
  <functionGroups builtInGroupCount="19"/>
  <definedNames>
    <definedName name="beta">#REF!</definedName>
    <definedName name="InitialTrend">#REF!</definedName>
    <definedName name="sencount" hidden="1">4</definedName>
    <definedName name="sencount2" hidden="1">3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8" i="2058" l="1"/>
  <c r="B9" i="2058"/>
  <c r="B13" i="2058"/>
  <c r="B14" i="2058"/>
  <c r="B8" i="2057"/>
  <c r="B9" i="2057"/>
  <c r="B13" i="2057"/>
  <c r="B14" i="2057"/>
  <c r="B8" i="2055"/>
  <c r="B9" i="2055"/>
  <c r="B13" i="2055"/>
  <c r="B14" i="2055"/>
  <c r="B8" i="2052"/>
  <c r="B9" i="2052"/>
  <c r="B13" i="2052"/>
  <c r="B14" i="2052"/>
  <c r="B8" i="6"/>
  <c r="B9" i="6"/>
</calcChain>
</file>

<file path=xl/sharedStrings.xml><?xml version="1.0" encoding="utf-8"?>
<sst xmlns="http://schemas.openxmlformats.org/spreadsheetml/2006/main" count="162" uniqueCount="35">
  <si>
    <r>
      <t>L</t>
    </r>
    <r>
      <rPr>
        <vertAlign val="subscript"/>
        <sz val="10"/>
        <rFont val="Arial"/>
        <family val="2"/>
      </rPr>
      <t>q</t>
    </r>
    <r>
      <rPr>
        <sz val="10"/>
        <rFont val="Arial"/>
        <family val="2"/>
      </rPr>
      <t xml:space="preserve"> =</t>
    </r>
  </si>
  <si>
    <r>
      <t>W</t>
    </r>
    <r>
      <rPr>
        <vertAlign val="subscript"/>
        <sz val="10"/>
        <rFont val="Arial"/>
        <family val="2"/>
      </rPr>
      <t>q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</si>
  <si>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</si>
  <si>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</si>
  <si>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</si>
  <si>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</si>
  <si>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</si>
  <si>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5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</si>
  <si>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6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</si>
  <si>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 xml:space="preserve">7 </t>
    </r>
    <r>
      <rPr>
        <sz val="10"/>
        <rFont val="Arial"/>
        <family val="2"/>
      </rPr>
      <t>=</t>
    </r>
  </si>
  <si>
    <r>
      <t>P</t>
    </r>
    <r>
      <rPr>
        <vertAlign val="subscript"/>
        <sz val="10"/>
        <rFont val="Arial"/>
        <family val="2"/>
      </rPr>
      <t>8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</si>
  <si>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9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</si>
  <si>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10</t>
    </r>
    <r>
      <rPr>
        <sz val="10"/>
        <rFont val="Arial"/>
        <family val="2"/>
      </rPr>
      <t xml:space="preserve"> =</t>
    </r>
  </si>
  <si>
    <t>Template for Queueing Simulation</t>
  </si>
  <si>
    <t>Number of Servers =</t>
  </si>
  <si>
    <t>Service Times</t>
  </si>
  <si>
    <t>Distribution =</t>
  </si>
  <si>
    <t>Interarrival Times</t>
  </si>
  <si>
    <t>Exponential</t>
  </si>
  <si>
    <t>Point</t>
  </si>
  <si>
    <t>Estimate</t>
  </si>
  <si>
    <t>Low</t>
  </si>
  <si>
    <t>High</t>
  </si>
  <si>
    <t>95% Confidence Interval</t>
  </si>
  <si>
    <t>L =</t>
  </si>
  <si>
    <t>W =</t>
  </si>
  <si>
    <t>Results</t>
  </si>
  <si>
    <t>Data</t>
  </si>
  <si>
    <t>Number of Arrivals =</t>
  </si>
  <si>
    <t>Length of Simulation Run</t>
  </si>
  <si>
    <t>Translated Exponential</t>
  </si>
  <si>
    <t>Constant</t>
  </si>
  <si>
    <t>Uniform</t>
  </si>
  <si>
    <t>Minimum Value =</t>
  </si>
  <si>
    <t>Mean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</si>
</sst>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9"/>
      <name val="Geneva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  <font>
      <sz val="8"/>
      <name val="Geneva"/>
    </font>
    <font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3" xfId="0" applyFont="1" applyBorder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right"/>
    </xf>
    <xf numFmtId="0" fontId="1" fillId="0" borderId="8" xfId="0" applyFont="1" applyBorder="1" applyAlignment="1">
      <alignment horizontal="right"/>
    </xf>
    <xf numFmtId="0" fontId="1" fillId="0" borderId="0" xfId="0" applyFont="1" applyBorder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/>
    <xf numFmtId="0" fontId="1" fillId="2" borderId="0" xfId="0" applyFont="1" applyFill="1" applyBorder="1" applyAlignment="1">
      <alignment horizontal="center"/>
    </xf>
    <xf numFmtId="3" fontId="1" fillId="2" borderId="0" xfId="0" applyNumberFormat="1" applyFont="1" applyFill="1" applyBorder="1" applyAlignment="1">
      <alignment horizontal="center"/>
    </xf>
    <xf numFmtId="0" fontId="1" fillId="3" borderId="9" xfId="0" applyNumberFormat="1" applyFont="1" applyFill="1" applyBorder="1" applyAlignment="1">
      <alignment horizontal="center"/>
    </xf>
    <xf numFmtId="0" fontId="1" fillId="3" borderId="0" xfId="0" applyNumberFormat="1" applyFont="1" applyFill="1" applyBorder="1"/>
    <xf numFmtId="0" fontId="1" fillId="3" borderId="10" xfId="0" applyNumberFormat="1" applyFont="1" applyFill="1" applyBorder="1"/>
    <xf numFmtId="0" fontId="1" fillId="3" borderId="11" xfId="0" applyNumberFormat="1" applyFont="1" applyFill="1" applyBorder="1" applyAlignment="1">
      <alignment horizontal="center"/>
    </xf>
    <xf numFmtId="0" fontId="1" fillId="3" borderId="12" xfId="0" applyNumberFormat="1" applyFont="1" applyFill="1" applyBorder="1"/>
    <xf numFmtId="0" fontId="1" fillId="3" borderId="13" xfId="0" applyNumberFormat="1" applyFont="1" applyFill="1" applyBorder="1"/>
    <xf numFmtId="0" fontId="6" fillId="2" borderId="0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</cellXfs>
  <cellStyles count="1">
    <cellStyle name="Normal" xfId="0" builtinId="0"/>
  </cellStyles>
  <dxfs count="10"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650875</xdr:colOff>
      <xdr:row>19</xdr:row>
      <xdr:rowOff>88900</xdr:rowOff>
    </xdr:from>
    <xdr:to>
      <xdr:col>2</xdr:col>
      <xdr:colOff>393785</xdr:colOff>
      <xdr:row>20</xdr:row>
      <xdr:rowOff>152400</xdr:rowOff>
    </xdr:to>
    <xdr:sp macro="[0]!Sheet6.DoSimulationRun" textlink="">
      <xdr:nvSpPr>
        <xdr:cNvPr id="1026" name="AutoShape 2" descr="5b459166-43d8-449d-870f-890cb592536a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>
          <a:spLocks noChangeArrowheads="1"/>
        </xdr:cNvSpPr>
      </xdr:nvSpPr>
      <xdr:spPr bwMode="auto">
        <a:xfrm>
          <a:off x="752475" y="3686175"/>
          <a:ext cx="1209675" cy="276225"/>
        </a:xfrm>
        <a:prstGeom prst="roundRect">
          <a:avLst>
            <a:gd name="adj" fmla="val 16667"/>
          </a:avLst>
        </a:prstGeom>
        <a:solidFill>
          <a:srgbClr val="C0C0C0"/>
        </a:solidFill>
        <a:ln w="19050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Chicago"/>
              <a:ea typeface="Chicago"/>
              <a:cs typeface="Chicago"/>
            </a:rPr>
            <a:t>Run Simulation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650875</xdr:colOff>
      <xdr:row>19</xdr:row>
      <xdr:rowOff>88900</xdr:rowOff>
    </xdr:from>
    <xdr:to>
      <xdr:col>2</xdr:col>
      <xdr:colOff>393785</xdr:colOff>
      <xdr:row>20</xdr:row>
      <xdr:rowOff>152400</xdr:rowOff>
    </xdr:to>
    <xdr:sp macro="[0]!Sheet6.DoSimulationRun" textlink="">
      <xdr:nvSpPr>
        <xdr:cNvPr id="3073" name="AutoShape 1" descr="f85031f0-60cd-442b-a040-fd85f8f816c3">
          <a:extLs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>
          <a:spLocks noChangeArrowheads="1"/>
        </xdr:cNvSpPr>
      </xdr:nvSpPr>
      <xdr:spPr bwMode="auto">
        <a:xfrm>
          <a:off x="752475" y="3686175"/>
          <a:ext cx="1209675" cy="276225"/>
        </a:xfrm>
        <a:prstGeom prst="roundRect">
          <a:avLst>
            <a:gd name="adj" fmla="val 16667"/>
          </a:avLst>
        </a:prstGeom>
        <a:solidFill>
          <a:srgbClr val="C0C0C0"/>
        </a:solidFill>
        <a:ln w="19050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Chicago"/>
              <a:ea typeface="Chicago"/>
              <a:cs typeface="Chicago"/>
            </a:rPr>
            <a:t>Run Simulation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650875</xdr:colOff>
      <xdr:row>19</xdr:row>
      <xdr:rowOff>88900</xdr:rowOff>
    </xdr:from>
    <xdr:to>
      <xdr:col>2</xdr:col>
      <xdr:colOff>393785</xdr:colOff>
      <xdr:row>20</xdr:row>
      <xdr:rowOff>152400</xdr:rowOff>
    </xdr:to>
    <xdr:sp macro="[0]!Sheet6.DoSimulationRun" textlink="">
      <xdr:nvSpPr>
        <xdr:cNvPr id="4097" name="AutoShape 1" descr="fee01376-5259-495d-b6ce-f83a77a639b3">
          <a:extLst>
            <a:ext uri="{FF2B5EF4-FFF2-40B4-BE49-F238E27FC236}">
              <a16:creationId xmlns:a16="http://schemas.microsoft.com/office/drawing/2014/main" id="{00000000-0008-0000-0200-000001100000}"/>
            </a:ext>
          </a:extLst>
        </xdr:cNvPr>
        <xdr:cNvSpPr>
          <a:spLocks noChangeArrowheads="1"/>
        </xdr:cNvSpPr>
      </xdr:nvSpPr>
      <xdr:spPr bwMode="auto">
        <a:xfrm>
          <a:off x="752475" y="3686175"/>
          <a:ext cx="1209675" cy="276225"/>
        </a:xfrm>
        <a:prstGeom prst="roundRect">
          <a:avLst>
            <a:gd name="adj" fmla="val 16667"/>
          </a:avLst>
        </a:prstGeom>
        <a:solidFill>
          <a:srgbClr val="C0C0C0"/>
        </a:solidFill>
        <a:ln w="19050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Chicago"/>
              <a:ea typeface="Chicago"/>
              <a:cs typeface="Chicago"/>
            </a:rPr>
            <a:t>Run Simulation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650875</xdr:colOff>
      <xdr:row>19</xdr:row>
      <xdr:rowOff>88900</xdr:rowOff>
    </xdr:from>
    <xdr:to>
      <xdr:col>2</xdr:col>
      <xdr:colOff>393785</xdr:colOff>
      <xdr:row>20</xdr:row>
      <xdr:rowOff>152400</xdr:rowOff>
    </xdr:to>
    <xdr:sp macro="[0]!Sheet6.DoSimulationRun" textlink="">
      <xdr:nvSpPr>
        <xdr:cNvPr id="5121" name="AutoShape 1" descr="0f142b0d-a932-444d-b4bd-b99d26a2528c">
          <a:extLst>
            <a:ext uri="{FF2B5EF4-FFF2-40B4-BE49-F238E27FC236}">
              <a16:creationId xmlns:a16="http://schemas.microsoft.com/office/drawing/2014/main" id="{00000000-0008-0000-0300-000001140000}"/>
            </a:ext>
          </a:extLst>
        </xdr:cNvPr>
        <xdr:cNvSpPr>
          <a:spLocks noChangeArrowheads="1"/>
        </xdr:cNvSpPr>
      </xdr:nvSpPr>
      <xdr:spPr bwMode="auto">
        <a:xfrm>
          <a:off x="752475" y="3686175"/>
          <a:ext cx="1209675" cy="276225"/>
        </a:xfrm>
        <a:prstGeom prst="roundRect">
          <a:avLst>
            <a:gd name="adj" fmla="val 16667"/>
          </a:avLst>
        </a:prstGeom>
        <a:solidFill>
          <a:srgbClr val="C0C0C0"/>
        </a:solidFill>
        <a:ln w="19050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Chicago"/>
              <a:ea typeface="Chicago"/>
              <a:cs typeface="Chicago"/>
            </a:rPr>
            <a:t>Run Simulation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19</xdr:row>
      <xdr:rowOff>88900</xdr:rowOff>
    </xdr:from>
    <xdr:to>
      <xdr:col>2</xdr:col>
      <xdr:colOff>393700</xdr:colOff>
      <xdr:row>20</xdr:row>
      <xdr:rowOff>152400</xdr:rowOff>
    </xdr:to>
    <xdr:sp macro="" textlink="">
      <xdr:nvSpPr>
        <xdr:cNvPr id="6147" name="AutoShape 1" descr="4b9c0107-4e85-408c-8185-d40014048c5e">
          <a:extLst>
            <a:ext uri="{FF2B5EF4-FFF2-40B4-BE49-F238E27FC236}">
              <a16:creationId xmlns:a16="http://schemas.microsoft.com/office/drawing/2014/main" id="{00000000-0008-0000-0400-000003180000}"/>
            </a:ext>
          </a:extLst>
        </xdr:cNvPr>
        <xdr:cNvSpPr>
          <a:spLocks noChangeArrowheads="1"/>
        </xdr:cNvSpPr>
      </xdr:nvSpPr>
      <xdr:spPr bwMode="auto">
        <a:xfrm>
          <a:off x="863600" y="3060700"/>
          <a:ext cx="1384300" cy="215900"/>
        </a:xfrm>
        <a:prstGeom prst="roundRect">
          <a:avLst>
            <a:gd name="adj" fmla="val 16667"/>
          </a:avLst>
        </a:prstGeom>
        <a:solidFill>
          <a:srgbClr val="C0C0C0"/>
        </a:solidFill>
        <a:ln w="19050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0" bIns="0" anchor="t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Chicago"/>
              <a:ea typeface="Chicago"/>
              <a:cs typeface="Chicago"/>
            </a:rPr>
            <a:t>Run Simulation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H21"/>
  <sheetViews>
    <sheetView workbookViewId="0">
      <selection activeCell="J18" sqref="J18"/>
    </sheetView>
  </sheetViews>
  <sheetFormatPr defaultColWidth="10.85546875" defaultRowHeight="12.75"/>
  <cols>
    <col min="1" max="1" width="2.85546875" style="1" customWidth="1"/>
    <col min="2" max="2" width="21.42578125" style="1" bestFit="1" customWidth="1"/>
    <col min="3" max="3" width="19.7109375" style="3" bestFit="1" customWidth="1"/>
    <col min="4" max="4" width="10.85546875" style="1" customWidth="1"/>
    <col min="5" max="5" width="5.42578125" style="1" customWidth="1"/>
    <col min="6" max="6" width="10.85546875" style="3" customWidth="1"/>
    <col min="7" max="8" width="12.85546875" style="1" customWidth="1"/>
    <col min="9" max="16384" width="10.85546875" style="1"/>
  </cols>
  <sheetData>
    <row r="1" spans="1:8" ht="18">
      <c r="A1" s="2" t="s">
        <v>13</v>
      </c>
    </row>
    <row r="3" spans="1:8" ht="13.5" thickBot="1">
      <c r="C3" s="4" t="s">
        <v>27</v>
      </c>
      <c r="F3" s="1"/>
      <c r="G3" s="5" t="s">
        <v>26</v>
      </c>
    </row>
    <row r="4" spans="1:8">
      <c r="B4" s="14" t="s">
        <v>14</v>
      </c>
      <c r="C4" s="18">
        <v>2</v>
      </c>
      <c r="E4" s="6"/>
      <c r="F4" s="7" t="s">
        <v>19</v>
      </c>
      <c r="G4" s="27" t="s">
        <v>23</v>
      </c>
      <c r="H4" s="28"/>
    </row>
    <row r="5" spans="1:8">
      <c r="B5" s="15"/>
      <c r="C5" s="16"/>
      <c r="E5" s="8"/>
      <c r="F5" s="9" t="s">
        <v>20</v>
      </c>
      <c r="G5" s="10" t="s">
        <v>21</v>
      </c>
      <c r="H5" s="11" t="s">
        <v>22</v>
      </c>
    </row>
    <row r="6" spans="1:8">
      <c r="B6" s="17" t="s">
        <v>17</v>
      </c>
      <c r="C6" s="16"/>
      <c r="E6" s="12" t="s">
        <v>24</v>
      </c>
      <c r="F6" s="20">
        <v>2.0059580198249081</v>
      </c>
      <c r="G6" s="21">
        <v>1.8978652969494243</v>
      </c>
      <c r="H6" s="22">
        <v>2.1140507427003921</v>
      </c>
    </row>
    <row r="7" spans="1:8" ht="15.75">
      <c r="B7" s="14" t="s">
        <v>16</v>
      </c>
      <c r="C7" s="18" t="s">
        <v>18</v>
      </c>
      <c r="E7" s="12" t="s">
        <v>0</v>
      </c>
      <c r="F7" s="20">
        <v>0.6789348083765181</v>
      </c>
      <c r="G7" s="21">
        <v>0.59320690101063089</v>
      </c>
      <c r="H7" s="22">
        <v>0.7646627157424053</v>
      </c>
    </row>
    <row r="8" spans="1:8">
      <c r="B8" s="14" t="str">
        <f>IF(C7="Constant","Value =",IF(C7="Erlang","Mean =",IF(C7="Exponential","Mean =",IF(C7="Translated Exponential","Minimum Value =","Minimum Value ="))))</f>
        <v>Mean =</v>
      </c>
      <c r="C8" s="18">
        <v>15</v>
      </c>
      <c r="E8" s="12" t="s">
        <v>25</v>
      </c>
      <c r="F8" s="20">
        <v>30.080583474660042</v>
      </c>
      <c r="G8" s="21">
        <v>28.809752173955708</v>
      </c>
      <c r="H8" s="22">
        <v>31.351414775364375</v>
      </c>
    </row>
    <row r="9" spans="1:8" ht="15.75">
      <c r="B9" s="14" t="str">
        <f>IF(C7="Erlang","k =",IF(C7="Translated Exponential","Mean =",IF(C7="Uniform","Maximum Value =","")))</f>
        <v/>
      </c>
      <c r="C9" s="18">
        <v>5</v>
      </c>
      <c r="E9" s="12" t="s">
        <v>1</v>
      </c>
      <c r="F9" s="20">
        <v>10.181048145267164</v>
      </c>
      <c r="G9" s="21">
        <v>9.003946664717029</v>
      </c>
      <c r="H9" s="22">
        <v>11.358149625817299</v>
      </c>
    </row>
    <row r="10" spans="1:8">
      <c r="B10" s="15"/>
      <c r="C10" s="16"/>
      <c r="E10" s="12"/>
      <c r="F10" s="20"/>
      <c r="G10" s="21"/>
      <c r="H10" s="22"/>
    </row>
    <row r="11" spans="1:8" ht="15.75">
      <c r="B11" s="17" t="s">
        <v>15</v>
      </c>
      <c r="C11" s="16"/>
      <c r="E11" s="12" t="s">
        <v>2</v>
      </c>
      <c r="F11" s="20">
        <v>0.19887294088087248</v>
      </c>
      <c r="G11" s="21">
        <v>0.18773432502246851</v>
      </c>
      <c r="H11" s="22">
        <v>0.21001155673927646</v>
      </c>
    </row>
    <row r="12" spans="1:8" ht="15.75">
      <c r="B12" s="14" t="s">
        <v>16</v>
      </c>
      <c r="C12" s="18" t="s">
        <v>30</v>
      </c>
      <c r="E12" s="12" t="s">
        <v>3</v>
      </c>
      <c r="F12" s="20">
        <v>0.27523090678986423</v>
      </c>
      <c r="G12" s="21">
        <v>0.26417779350363357</v>
      </c>
      <c r="H12" s="22">
        <v>0.28628402007609488</v>
      </c>
    </row>
    <row r="13" spans="1:8" ht="15.75">
      <c r="B13" s="14" t="s">
        <v>33</v>
      </c>
      <c r="C13" s="18">
        <v>10</v>
      </c>
      <c r="E13" s="12" t="s">
        <v>4</v>
      </c>
      <c r="F13" s="20">
        <v>0.21660237580310562</v>
      </c>
      <c r="G13" s="21">
        <v>0.20890637431528034</v>
      </c>
      <c r="H13" s="22">
        <v>0.22429837729093091</v>
      </c>
    </row>
    <row r="14" spans="1:8" ht="15.75">
      <c r="B14" s="14" t="s">
        <v>34</v>
      </c>
      <c r="C14" s="26">
        <v>20</v>
      </c>
      <c r="E14" s="12" t="s">
        <v>5</v>
      </c>
      <c r="F14" s="20">
        <v>0.14130865748422994</v>
      </c>
      <c r="G14" s="21">
        <v>0.13391354628839033</v>
      </c>
      <c r="H14" s="22">
        <v>0.14870376868006954</v>
      </c>
    </row>
    <row r="15" spans="1:8" ht="15.75">
      <c r="B15" s="15"/>
      <c r="C15" s="16"/>
      <c r="E15" s="12" t="s">
        <v>6</v>
      </c>
      <c r="F15" s="20">
        <v>7.672911297832774E-2</v>
      </c>
      <c r="G15" s="21">
        <v>7.06904965499386E-2</v>
      </c>
      <c r="H15" s="22">
        <v>8.2767729406716881E-2</v>
      </c>
    </row>
    <row r="16" spans="1:8" ht="15.75">
      <c r="B16" s="17" t="s">
        <v>29</v>
      </c>
      <c r="C16" s="16"/>
      <c r="E16" s="12" t="s">
        <v>7</v>
      </c>
      <c r="F16" s="20">
        <v>4.0598015357561024E-2</v>
      </c>
      <c r="G16" s="21">
        <v>3.5335605242745066E-2</v>
      </c>
      <c r="H16" s="22">
        <v>4.5860425472376981E-2</v>
      </c>
    </row>
    <row r="17" spans="2:8" ht="15.75">
      <c r="B17" s="14" t="s">
        <v>28</v>
      </c>
      <c r="C17" s="19">
        <v>10000</v>
      </c>
      <c r="E17" s="12" t="s">
        <v>8</v>
      </c>
      <c r="F17" s="20">
        <v>2.2158811786299176E-2</v>
      </c>
      <c r="G17" s="21">
        <v>1.7695494978259958E-2</v>
      </c>
      <c r="H17" s="22">
        <v>2.6622128594338393E-2</v>
      </c>
    </row>
    <row r="18" spans="2:8" ht="15.75">
      <c r="E18" s="12" t="s">
        <v>9</v>
      </c>
      <c r="F18" s="20">
        <v>1.3140466150334339E-2</v>
      </c>
      <c r="G18" s="21">
        <v>9.6022910861054515E-3</v>
      </c>
      <c r="H18" s="22">
        <v>1.6678641214563226E-2</v>
      </c>
    </row>
    <row r="19" spans="2:8" ht="15.75">
      <c r="E19" s="12" t="s">
        <v>10</v>
      </c>
      <c r="F19" s="20">
        <v>6.9000735662580678E-3</v>
      </c>
      <c r="G19" s="21">
        <v>4.3792829441108684E-3</v>
      </c>
      <c r="H19" s="22">
        <v>9.4208641884052681E-3</v>
      </c>
    </row>
    <row r="20" spans="2:8" ht="15.75">
      <c r="E20" s="12" t="s">
        <v>11</v>
      </c>
      <c r="F20" s="20">
        <v>4.3365979266057455E-3</v>
      </c>
      <c r="G20" s="21">
        <v>2.2265232587238091E-3</v>
      </c>
      <c r="H20" s="22">
        <v>6.4466725944876818E-3</v>
      </c>
    </row>
    <row r="21" spans="2:8" ht="16.5" thickBot="1">
      <c r="E21" s="13" t="s">
        <v>12</v>
      </c>
      <c r="F21" s="23">
        <v>1.8741207513673505E-3</v>
      </c>
      <c r="G21" s="24">
        <v>4.9514707927139439E-4</v>
      </c>
      <c r="H21" s="25">
        <v>3.2530944234633067E-3</v>
      </c>
    </row>
  </sheetData>
  <mergeCells count="1">
    <mergeCell ref="G4:H4"/>
  </mergeCells>
  <phoneticPr fontId="5" type="noConversion"/>
  <conditionalFormatting sqref="C9">
    <cfRule type="expression" dxfId="9" priority="1" stopIfTrue="1">
      <formula>OR(C7="Exponential",C7="Constant")</formula>
    </cfRule>
  </conditionalFormatting>
  <conditionalFormatting sqref="C14">
    <cfRule type="expression" dxfId="8" priority="2" stopIfTrue="1">
      <formula>OR(C12="Constant",C12="Exponential")</formula>
    </cfRule>
  </conditionalFormatting>
  <dataValidations count="3">
    <dataValidation type="list" allowBlank="1" showInputMessage="1" showErrorMessage="1" sqref="C7 C12" xr:uid="{00000000-0002-0000-0000-000000000000}">
      <formula1>"Constant,Erlang,Exponential,Translated Exponential,Uniform"</formula1>
    </dataValidation>
    <dataValidation type="whole" allowBlank="1" showInputMessage="1" showErrorMessage="1" error="The number of arrivals simulated must be an integer between 1 and 1,000,000." sqref="C17" xr:uid="{00000000-0002-0000-0000-000002000000}">
      <formula1>1</formula1>
      <formula2>1000000</formula2>
    </dataValidation>
    <dataValidation type="whole" allowBlank="1" showInputMessage="1" showErrorMessage="1" error="The number of servers must be between 1 and 25 (inclusive)." sqref="C4" xr:uid="{00000000-0002-0000-0000-000003000000}">
      <formula1>1</formula1>
      <formula2>25</formula2>
    </dataValidation>
  </dataValidations>
  <printOptions headings="1" gridLines="1"/>
  <pageMargins left="0.75" right="0.75" top="1" bottom="1" header="0.5" footer="0.5"/>
  <pageSetup paperSize="0" orientation="landscape" horizontalDpi="4294967292" verticalDpi="429496729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H21"/>
  <sheetViews>
    <sheetView tabSelected="1" workbookViewId="0">
      <selection activeCell="B22" sqref="B22"/>
    </sheetView>
  </sheetViews>
  <sheetFormatPr defaultColWidth="10.85546875" defaultRowHeight="12.75"/>
  <cols>
    <col min="1" max="1" width="2.85546875" style="1" customWidth="1"/>
    <col min="2" max="2" width="21.42578125" style="1" bestFit="1" customWidth="1"/>
    <col min="3" max="3" width="19.7109375" style="3" bestFit="1" customWidth="1"/>
    <col min="4" max="4" width="10.85546875" style="1" customWidth="1"/>
    <col min="5" max="5" width="5.42578125" style="1" customWidth="1"/>
    <col min="6" max="6" width="10.85546875" style="3" customWidth="1"/>
    <col min="7" max="8" width="12.85546875" style="1" customWidth="1"/>
    <col min="9" max="16384" width="10.85546875" style="1"/>
  </cols>
  <sheetData>
    <row r="1" spans="1:8" ht="18">
      <c r="A1" s="2" t="s">
        <v>13</v>
      </c>
    </row>
    <row r="3" spans="1:8" ht="13.5" thickBot="1">
      <c r="C3" s="4" t="s">
        <v>27</v>
      </c>
      <c r="F3" s="1"/>
      <c r="G3" s="5" t="s">
        <v>26</v>
      </c>
    </row>
    <row r="4" spans="1:8">
      <c r="B4" s="14" t="s">
        <v>14</v>
      </c>
      <c r="C4" s="18">
        <v>3</v>
      </c>
      <c r="E4" s="6"/>
      <c r="F4" s="7" t="s">
        <v>19</v>
      </c>
      <c r="G4" s="27" t="s">
        <v>23</v>
      </c>
      <c r="H4" s="28"/>
    </row>
    <row r="5" spans="1:8">
      <c r="B5" s="15"/>
      <c r="C5" s="16"/>
      <c r="E5" s="8"/>
      <c r="F5" s="9" t="s">
        <v>20</v>
      </c>
      <c r="G5" s="10" t="s">
        <v>21</v>
      </c>
      <c r="H5" s="11" t="s">
        <v>22</v>
      </c>
    </row>
    <row r="6" spans="1:8">
      <c r="B6" s="17" t="s">
        <v>17</v>
      </c>
      <c r="C6" s="16"/>
      <c r="E6" s="12" t="s">
        <v>24</v>
      </c>
      <c r="F6" s="20">
        <v>1.3901485324868375</v>
      </c>
      <c r="G6" s="21">
        <v>1.3528307820064052</v>
      </c>
      <c r="H6" s="22">
        <v>1.4274662829672697</v>
      </c>
    </row>
    <row r="7" spans="1:8" ht="15.75">
      <c r="B7" s="14" t="s">
        <v>16</v>
      </c>
      <c r="C7" s="18" t="s">
        <v>18</v>
      </c>
      <c r="E7" s="12" t="s">
        <v>0</v>
      </c>
      <c r="F7" s="20">
        <v>8.8357684903171613E-2</v>
      </c>
      <c r="G7" s="21">
        <v>7.5214860358924718E-2</v>
      </c>
      <c r="H7" s="22">
        <v>0.10150050944741851</v>
      </c>
    </row>
    <row r="8" spans="1:8">
      <c r="B8" s="14" t="str">
        <f>IF(C7="Constant","Value =",IF(C7="Erlang","Mean =",IF(C7="Exponential","Mean =",IF(C7="Translated Exponential","Minimum Value =","Minimum Value ="))))</f>
        <v>Mean =</v>
      </c>
      <c r="C8" s="18">
        <v>15</v>
      </c>
      <c r="E8" s="12" t="s">
        <v>25</v>
      </c>
      <c r="F8" s="20">
        <v>21.204102403095646</v>
      </c>
      <c r="G8" s="21">
        <v>20.878274681426689</v>
      </c>
      <c r="H8" s="22">
        <v>21.529930124764604</v>
      </c>
    </row>
    <row r="9" spans="1:8" ht="15.75">
      <c r="B9" s="14" t="str">
        <f>IF(C7="Erlang","k =",IF(C7="Translated Exponential","Mean =",IF(C7="Uniform","Maximum Value =","")))</f>
        <v/>
      </c>
      <c r="C9" s="18">
        <v>5</v>
      </c>
      <c r="E9" s="12" t="s">
        <v>1</v>
      </c>
      <c r="F9" s="20">
        <v>1.3477303719737939</v>
      </c>
      <c r="G9" s="21">
        <v>1.1573785804939412</v>
      </c>
      <c r="H9" s="22">
        <v>1.5380821634536466</v>
      </c>
    </row>
    <row r="10" spans="1:8">
      <c r="B10" s="15"/>
      <c r="C10" s="16"/>
      <c r="E10" s="12"/>
      <c r="F10" s="20"/>
      <c r="G10" s="21"/>
      <c r="H10" s="22"/>
    </row>
    <row r="11" spans="1:8" ht="15.75">
      <c r="B11" s="17" t="s">
        <v>15</v>
      </c>
      <c r="C11" s="16"/>
      <c r="E11" s="12" t="s">
        <v>2</v>
      </c>
      <c r="F11" s="20">
        <v>0.25789710793782394</v>
      </c>
      <c r="G11" s="21">
        <v>0.24810530950619603</v>
      </c>
      <c r="H11" s="22">
        <v>0.26768890636945186</v>
      </c>
    </row>
    <row r="12" spans="1:8" ht="15.75">
      <c r="B12" s="14" t="s">
        <v>16</v>
      </c>
      <c r="C12" s="18" t="s">
        <v>30</v>
      </c>
      <c r="E12" s="12" t="s">
        <v>3</v>
      </c>
      <c r="F12" s="20">
        <v>0.35023553117613743</v>
      </c>
      <c r="G12" s="21">
        <v>0.34239869571045645</v>
      </c>
      <c r="H12" s="22">
        <v>0.35807236664181841</v>
      </c>
    </row>
    <row r="13" spans="1:8" ht="15.75">
      <c r="B13" s="14" t="str">
        <f>IF(C12="Constant","Value =",IF(C12="Erlang","Mean =",IF(C12="Exponential","Mean =",IF(C12="Translated Exponential","Minimum Value =","Minimum Value ="))))</f>
        <v>Minimum Value =</v>
      </c>
      <c r="C13" s="18">
        <v>10</v>
      </c>
      <c r="E13" s="12" t="s">
        <v>4</v>
      </c>
      <c r="F13" s="20">
        <v>0.22404676625058731</v>
      </c>
      <c r="G13" s="21">
        <v>0.21739349255399654</v>
      </c>
      <c r="H13" s="22">
        <v>0.23070003994717808</v>
      </c>
    </row>
    <row r="14" spans="1:8" ht="15.75">
      <c r="B14" s="14" t="str">
        <f>IF(C12="Erlang","k =",IF(C12="Translated Exponential","Mean =",IF(C12="Uniform","Maximum Value =","")))</f>
        <v>Mean =</v>
      </c>
      <c r="C14" s="18">
        <v>20</v>
      </c>
      <c r="E14" s="12" t="s">
        <v>5</v>
      </c>
      <c r="F14" s="20">
        <v>0.10880761540141175</v>
      </c>
      <c r="G14" s="21">
        <v>0.10337239432275876</v>
      </c>
      <c r="H14" s="22">
        <v>0.11424283648006474</v>
      </c>
    </row>
    <row r="15" spans="1:8" ht="15.75">
      <c r="B15" s="15"/>
      <c r="C15" s="16"/>
      <c r="E15" s="12" t="s">
        <v>6</v>
      </c>
      <c r="F15" s="20">
        <v>3.8950437841832442E-2</v>
      </c>
      <c r="G15" s="21">
        <v>3.5415787496497597E-2</v>
      </c>
      <c r="H15" s="22">
        <v>4.2485088187167286E-2</v>
      </c>
    </row>
    <row r="16" spans="1:8" ht="15.75">
      <c r="B16" s="17" t="s">
        <v>29</v>
      </c>
      <c r="C16" s="16"/>
      <c r="E16" s="12" t="s">
        <v>7</v>
      </c>
      <c r="F16" s="20">
        <v>1.3542098220081364E-2</v>
      </c>
      <c r="G16" s="21">
        <v>1.1352045666405231E-2</v>
      </c>
      <c r="H16" s="22">
        <v>1.5732150773757496E-2</v>
      </c>
    </row>
    <row r="17" spans="2:8" ht="15.75">
      <c r="B17" s="14" t="s">
        <v>28</v>
      </c>
      <c r="C17" s="19">
        <v>10000</v>
      </c>
      <c r="E17" s="12" t="s">
        <v>8</v>
      </c>
      <c r="F17" s="20">
        <v>4.7402645422895962E-3</v>
      </c>
      <c r="G17" s="21">
        <v>3.388584638094186E-3</v>
      </c>
      <c r="H17" s="22">
        <v>6.0919444464850063E-3</v>
      </c>
    </row>
    <row r="18" spans="2:8" ht="15.75">
      <c r="E18" s="12" t="s">
        <v>9</v>
      </c>
      <c r="F18" s="20">
        <v>1.1818344577367913E-3</v>
      </c>
      <c r="G18" s="21">
        <v>5.773353824354802E-4</v>
      </c>
      <c r="H18" s="22">
        <v>1.7863335330381023E-3</v>
      </c>
    </row>
    <row r="19" spans="2:8" ht="15.75">
      <c r="E19" s="12" t="s">
        <v>10</v>
      </c>
      <c r="F19" s="20">
        <v>2.8245453371119559E-4</v>
      </c>
      <c r="G19" s="21">
        <v>-7.4959779556349254E-5</v>
      </c>
      <c r="H19" s="22">
        <v>6.3986884697874043E-4</v>
      </c>
    </row>
    <row r="20" spans="2:8" ht="15.75">
      <c r="E20" s="12" t="s">
        <v>11</v>
      </c>
      <c r="F20" s="20">
        <v>2.4858097391292517E-4</v>
      </c>
      <c r="G20" s="21">
        <v>-9.7160260738858996E-5</v>
      </c>
      <c r="H20" s="22">
        <v>5.9432220856470933E-4</v>
      </c>
    </row>
    <row r="21" spans="2:8" ht="16.5" thickBot="1">
      <c r="E21" s="13" t="s">
        <v>12</v>
      </c>
      <c r="F21" s="23">
        <v>6.7308664475279568E-5</v>
      </c>
      <c r="G21" s="24">
        <v>-2.5800095892947083E-5</v>
      </c>
      <c r="H21" s="25">
        <v>1.6041742484350623E-4</v>
      </c>
    </row>
  </sheetData>
  <mergeCells count="1">
    <mergeCell ref="G4:H4"/>
  </mergeCells>
  <phoneticPr fontId="5"/>
  <conditionalFormatting sqref="C9">
    <cfRule type="expression" dxfId="7" priority="1" stopIfTrue="1">
      <formula>OR(C7="Exponential",C7="Constant")</formula>
    </cfRule>
  </conditionalFormatting>
  <conditionalFormatting sqref="C14">
    <cfRule type="expression" dxfId="6" priority="2" stopIfTrue="1">
      <formula>OR(C12="Constant",C12="Exponential")</formula>
    </cfRule>
  </conditionalFormatting>
  <dataValidations count="3">
    <dataValidation type="list" allowBlank="1" showInputMessage="1" showErrorMessage="1" sqref="C7 C12" xr:uid="{00000000-0002-0000-0100-000000000000}">
      <formula1>"Constant,Erlang,Exponential,Translated Exponential,Uniform"</formula1>
    </dataValidation>
    <dataValidation type="whole" allowBlank="1" showInputMessage="1" showErrorMessage="1" error="The number of arrivals simulated must be an integer between 1 and 1,000,000." sqref="C17" xr:uid="{00000000-0002-0000-0100-000002000000}">
      <formula1>1</formula1>
      <formula2>1000000</formula2>
    </dataValidation>
    <dataValidation type="whole" allowBlank="1" showInputMessage="1" showErrorMessage="1" error="The number of servers must be between 1 and 25 (inclusive)." sqref="C4" xr:uid="{00000000-0002-0000-0100-000003000000}">
      <formula1>1</formula1>
      <formula2>25</formula2>
    </dataValidation>
  </dataValidations>
  <printOptions headings="1" gridLines="1"/>
  <pageMargins left="0.75" right="0.75" top="1" bottom="1" header="0.5" footer="0.5"/>
  <pageSetup paperSize="0" orientation="landscape" horizontalDpi="4294967292" verticalDpi="429496729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H21"/>
  <sheetViews>
    <sheetView workbookViewId="0"/>
  </sheetViews>
  <sheetFormatPr defaultColWidth="10.85546875" defaultRowHeight="12.75"/>
  <cols>
    <col min="1" max="1" width="2.85546875" style="1" customWidth="1"/>
    <col min="2" max="2" width="21.42578125" style="1" bestFit="1" customWidth="1"/>
    <col min="3" max="3" width="19.7109375" style="3" bestFit="1" customWidth="1"/>
    <col min="4" max="4" width="10.85546875" style="1" customWidth="1"/>
    <col min="5" max="5" width="5.42578125" style="1" customWidth="1"/>
    <col min="6" max="6" width="10.85546875" style="3" customWidth="1"/>
    <col min="7" max="8" width="12.85546875" style="1" customWidth="1"/>
    <col min="9" max="16384" width="10.85546875" style="1"/>
  </cols>
  <sheetData>
    <row r="1" spans="1:8" ht="18">
      <c r="A1" s="2" t="s">
        <v>13</v>
      </c>
    </row>
    <row r="3" spans="1:8" ht="13.5" thickBot="1">
      <c r="C3" s="4" t="s">
        <v>27</v>
      </c>
      <c r="F3" s="1"/>
      <c r="G3" s="5" t="s">
        <v>26</v>
      </c>
    </row>
    <row r="4" spans="1:8">
      <c r="B4" s="14" t="s">
        <v>14</v>
      </c>
      <c r="C4" s="18">
        <v>2</v>
      </c>
      <c r="E4" s="6"/>
      <c r="F4" s="7" t="s">
        <v>19</v>
      </c>
      <c r="G4" s="27" t="s">
        <v>23</v>
      </c>
      <c r="H4" s="28"/>
    </row>
    <row r="5" spans="1:8">
      <c r="B5" s="15"/>
      <c r="C5" s="16"/>
      <c r="E5" s="8"/>
      <c r="F5" s="9" t="s">
        <v>20</v>
      </c>
      <c r="G5" s="10" t="s">
        <v>21</v>
      </c>
      <c r="H5" s="11" t="s">
        <v>22</v>
      </c>
    </row>
    <row r="6" spans="1:8">
      <c r="B6" s="17" t="s">
        <v>17</v>
      </c>
      <c r="C6" s="16"/>
      <c r="E6" s="12" t="s">
        <v>24</v>
      </c>
      <c r="F6" s="20">
        <v>1.4039616845596363</v>
      </c>
      <c r="G6" s="21">
        <v>1.3834121641846264</v>
      </c>
      <c r="H6" s="22">
        <v>1.4245112049346462</v>
      </c>
    </row>
    <row r="7" spans="1:8" ht="15.75">
      <c r="B7" s="14" t="s">
        <v>16</v>
      </c>
      <c r="C7" s="18" t="s">
        <v>31</v>
      </c>
      <c r="E7" s="12" t="s">
        <v>0</v>
      </c>
      <c r="F7" s="20">
        <v>6.4559125717506924E-2</v>
      </c>
      <c r="G7" s="21">
        <v>5.5139154029468652E-2</v>
      </c>
      <c r="H7" s="22">
        <v>7.3979097405545202E-2</v>
      </c>
    </row>
    <row r="8" spans="1:8">
      <c r="B8" s="14" t="str">
        <f>IF(C7="Constant","Value =",IF(C7="Erlang","Mean =",IF(C7="Exponential","Mean =",IF(C7="Translated Exponential","Minimum Value =","Minimum Value ="))))</f>
        <v>Value =</v>
      </c>
      <c r="C8" s="18">
        <v>15</v>
      </c>
      <c r="E8" s="12" t="s">
        <v>25</v>
      </c>
      <c r="F8" s="20">
        <v>21.059425268394545</v>
      </c>
      <c r="G8" s="21">
        <v>20.751182462769396</v>
      </c>
      <c r="H8" s="22">
        <v>21.367668074019694</v>
      </c>
    </row>
    <row r="9" spans="1:8" ht="15.75">
      <c r="B9" s="14" t="str">
        <f>IF(C7="Erlang","k =",IF(C7="Translated Exponential","Mean =",IF(C7="Uniform","Maximum Value =","")))</f>
        <v/>
      </c>
      <c r="C9" s="18">
        <v>5</v>
      </c>
      <c r="E9" s="12" t="s">
        <v>1</v>
      </c>
      <c r="F9" s="20">
        <v>0.9683868857626039</v>
      </c>
      <c r="G9" s="21">
        <v>0.82708731044202988</v>
      </c>
      <c r="H9" s="22">
        <v>1.109686461083178</v>
      </c>
    </row>
    <row r="10" spans="1:8">
      <c r="B10" s="15"/>
      <c r="C10" s="16"/>
      <c r="E10" s="12"/>
      <c r="F10" s="20"/>
      <c r="G10" s="21"/>
      <c r="H10" s="22"/>
    </row>
    <row r="11" spans="1:8" ht="15.75">
      <c r="B11" s="17" t="s">
        <v>15</v>
      </c>
      <c r="C11" s="16"/>
      <c r="E11" s="12" t="s">
        <v>2</v>
      </c>
      <c r="F11" s="20">
        <v>5.142644349720097E-2</v>
      </c>
      <c r="G11" s="21">
        <v>4.924329293187131E-2</v>
      </c>
      <c r="H11" s="22">
        <v>5.360959406253063E-2</v>
      </c>
    </row>
    <row r="12" spans="1:8" ht="15.75">
      <c r="B12" s="14" t="s">
        <v>16</v>
      </c>
      <c r="C12" s="18" t="s">
        <v>30</v>
      </c>
      <c r="E12" s="12" t="s">
        <v>3</v>
      </c>
      <c r="F12" s="20">
        <v>0.55774455416346769</v>
      </c>
      <c r="G12" s="21">
        <v>0.54787752805481316</v>
      </c>
      <c r="H12" s="22">
        <v>0.56761158027212222</v>
      </c>
    </row>
    <row r="13" spans="1:8" ht="15.75">
      <c r="B13" s="14" t="str">
        <f>IF(C12="Constant","Value =",IF(C12="Erlang","Mean =",IF(C12="Exponential","Mean =",IF(C12="Translated Exponential","Minimum Value =","Minimum Value ="))))</f>
        <v>Minimum Value =</v>
      </c>
      <c r="C13" s="18">
        <v>10</v>
      </c>
      <c r="E13" s="12" t="s">
        <v>4</v>
      </c>
      <c r="F13" s="20">
        <v>0.33345643179773282</v>
      </c>
      <c r="G13" s="21">
        <v>0.32567876849686611</v>
      </c>
      <c r="H13" s="22">
        <v>0.34123409509859953</v>
      </c>
    </row>
    <row r="14" spans="1:8" ht="15.75">
      <c r="B14" s="14" t="str">
        <f>IF(C12="Erlang","k =",IF(C12="Translated Exponential","Mean =",IF(C12="Uniform","Maximum Value =","")))</f>
        <v>Mean =</v>
      </c>
      <c r="C14" s="18">
        <v>20</v>
      </c>
      <c r="E14" s="12" t="s">
        <v>5</v>
      </c>
      <c r="F14" s="20">
        <v>5.060062975601079E-2</v>
      </c>
      <c r="G14" s="21">
        <v>4.526251349607581E-2</v>
      </c>
      <c r="H14" s="22">
        <v>5.593874601594577E-2</v>
      </c>
    </row>
    <row r="15" spans="1:8" ht="15.75">
      <c r="B15" s="15"/>
      <c r="C15" s="16"/>
      <c r="E15" s="12" t="s">
        <v>6</v>
      </c>
      <c r="F15" s="20">
        <v>6.357326395267259E-3</v>
      </c>
      <c r="G15" s="21">
        <v>4.0372034466160571E-3</v>
      </c>
      <c r="H15" s="22">
        <v>8.67744934391846E-3</v>
      </c>
    </row>
    <row r="16" spans="1:8" ht="15.75">
      <c r="B16" s="17" t="s">
        <v>29</v>
      </c>
      <c r="C16" s="16"/>
      <c r="E16" s="12" t="s">
        <v>7</v>
      </c>
      <c r="F16" s="20">
        <v>4.1461439032054249E-4</v>
      </c>
      <c r="G16" s="21">
        <v>2.3003592318151405E-6</v>
      </c>
      <c r="H16" s="22">
        <v>8.2692842140926989E-4</v>
      </c>
    </row>
    <row r="17" spans="2:8" ht="15.75">
      <c r="B17" s="14" t="s">
        <v>28</v>
      </c>
      <c r="C17" s="19">
        <v>10000</v>
      </c>
      <c r="E17" s="12" t="s">
        <v>8</v>
      </c>
      <c r="F17" s="20">
        <v>0</v>
      </c>
      <c r="G17" s="21">
        <v>0</v>
      </c>
      <c r="H17" s="22">
        <v>0</v>
      </c>
    </row>
    <row r="18" spans="2:8" ht="15.75">
      <c r="E18" s="12" t="s">
        <v>9</v>
      </c>
      <c r="F18" s="20">
        <v>0</v>
      </c>
      <c r="G18" s="21">
        <v>0</v>
      </c>
      <c r="H18" s="22">
        <v>0</v>
      </c>
    </row>
    <row r="19" spans="2:8" ht="15.75">
      <c r="E19" s="12" t="s">
        <v>10</v>
      </c>
      <c r="F19" s="20">
        <v>0</v>
      </c>
      <c r="G19" s="21">
        <v>0</v>
      </c>
      <c r="H19" s="22">
        <v>0</v>
      </c>
    </row>
    <row r="20" spans="2:8" ht="15.75">
      <c r="E20" s="12" t="s">
        <v>11</v>
      </c>
      <c r="F20" s="20">
        <v>0</v>
      </c>
      <c r="G20" s="21">
        <v>0</v>
      </c>
      <c r="H20" s="22">
        <v>0</v>
      </c>
    </row>
    <row r="21" spans="2:8" ht="16.5" thickBot="1">
      <c r="E21" s="13" t="s">
        <v>12</v>
      </c>
      <c r="F21" s="23">
        <v>0</v>
      </c>
      <c r="G21" s="24">
        <v>0</v>
      </c>
      <c r="H21" s="25">
        <v>0</v>
      </c>
    </row>
  </sheetData>
  <mergeCells count="1">
    <mergeCell ref="G4:H4"/>
  </mergeCells>
  <phoneticPr fontId="5"/>
  <conditionalFormatting sqref="C9">
    <cfRule type="expression" dxfId="5" priority="1" stopIfTrue="1">
      <formula>OR(C7="Exponential",C7="Constant")</formula>
    </cfRule>
  </conditionalFormatting>
  <conditionalFormatting sqref="C14">
    <cfRule type="expression" dxfId="4" priority="2" stopIfTrue="1">
      <formula>OR(C12="Constant",C12="Exponential")</formula>
    </cfRule>
  </conditionalFormatting>
  <dataValidations count="3">
    <dataValidation type="list" allowBlank="1" showInputMessage="1" showErrorMessage="1" sqref="C7 C12" xr:uid="{00000000-0002-0000-0200-000000000000}">
      <formula1>"Constant,Erlang,Exponential,Translated Exponential,Uniform"</formula1>
    </dataValidation>
    <dataValidation type="whole" allowBlank="1" showInputMessage="1" showErrorMessage="1" error="The number of arrivals simulated must be an integer between 1 and 1,000,000." sqref="C17" xr:uid="{00000000-0002-0000-0200-000002000000}">
      <formula1>1</formula1>
      <formula2>1000000</formula2>
    </dataValidation>
    <dataValidation type="whole" allowBlank="1" showInputMessage="1" showErrorMessage="1" error="The number of servers must be between 1 and 25 (inclusive)." sqref="C4" xr:uid="{00000000-0002-0000-0200-000003000000}">
      <formula1>1</formula1>
      <formula2>25</formula2>
    </dataValidation>
  </dataValidations>
  <printOptions headings="1" gridLines="1"/>
  <pageMargins left="0.75" right="0.75" top="1" bottom="1" header="0.5" footer="0.5"/>
  <pageSetup paperSize="0" orientation="landscape" horizontalDpi="4294967292" verticalDpi="429496729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H21"/>
  <sheetViews>
    <sheetView workbookViewId="0"/>
  </sheetViews>
  <sheetFormatPr defaultColWidth="10.85546875" defaultRowHeight="12.75"/>
  <cols>
    <col min="1" max="1" width="2.85546875" style="1" customWidth="1"/>
    <col min="2" max="2" width="21.42578125" style="1" bestFit="1" customWidth="1"/>
    <col min="3" max="3" width="19.7109375" style="3" bestFit="1" customWidth="1"/>
    <col min="4" max="4" width="10.85546875" style="1" customWidth="1"/>
    <col min="5" max="5" width="5.42578125" style="1" customWidth="1"/>
    <col min="6" max="6" width="10.85546875" style="3" customWidth="1"/>
    <col min="7" max="8" width="12.85546875" style="1" customWidth="1"/>
    <col min="9" max="16384" width="10.85546875" style="1"/>
  </cols>
  <sheetData>
    <row r="1" spans="1:8" ht="18">
      <c r="A1" s="2" t="s">
        <v>13</v>
      </c>
    </row>
    <row r="3" spans="1:8" ht="13.5" thickBot="1">
      <c r="C3" s="4" t="s">
        <v>27</v>
      </c>
      <c r="F3" s="1"/>
      <c r="G3" s="5" t="s">
        <v>26</v>
      </c>
    </row>
    <row r="4" spans="1:8">
      <c r="B4" s="14" t="s">
        <v>14</v>
      </c>
      <c r="C4" s="18">
        <v>3</v>
      </c>
      <c r="E4" s="6"/>
      <c r="F4" s="7" t="s">
        <v>19</v>
      </c>
      <c r="G4" s="27" t="s">
        <v>23</v>
      </c>
      <c r="H4" s="28"/>
    </row>
    <row r="5" spans="1:8">
      <c r="B5" s="15"/>
      <c r="C5" s="16"/>
      <c r="E5" s="8"/>
      <c r="F5" s="9" t="s">
        <v>20</v>
      </c>
      <c r="G5" s="10" t="s">
        <v>21</v>
      </c>
      <c r="H5" s="11" t="s">
        <v>22</v>
      </c>
    </row>
    <row r="6" spans="1:8">
      <c r="B6" s="17" t="s">
        <v>17</v>
      </c>
      <c r="C6" s="16"/>
      <c r="E6" s="12" t="s">
        <v>24</v>
      </c>
      <c r="F6" s="20">
        <v>1.3298556914643247</v>
      </c>
      <c r="G6" s="21">
        <v>1.3166901723586404</v>
      </c>
      <c r="H6" s="22">
        <v>1.343021210570009</v>
      </c>
    </row>
    <row r="7" spans="1:8" ht="15.75">
      <c r="B7" s="14" t="s">
        <v>16</v>
      </c>
      <c r="C7" s="18" t="s">
        <v>31</v>
      </c>
      <c r="E7" s="12" t="s">
        <v>0</v>
      </c>
      <c r="F7" s="20">
        <v>5.2553816321316345E-4</v>
      </c>
      <c r="G7" s="21">
        <v>1.8459626024366302E-4</v>
      </c>
      <c r="H7" s="22">
        <v>8.6648006618266393E-4</v>
      </c>
    </row>
    <row r="8" spans="1:8">
      <c r="B8" s="14" t="str">
        <f>IF(C7="Constant","Value =",IF(C7="Erlang","Mean =",IF(C7="Exponential","Mean =",IF(C7="Translated Exponential","Minimum Value =","Minimum Value ="))))</f>
        <v>Value =</v>
      </c>
      <c r="C8" s="18">
        <v>15</v>
      </c>
      <c r="E8" s="12" t="s">
        <v>25</v>
      </c>
      <c r="F8" s="20">
        <v>19.947835371964871</v>
      </c>
      <c r="G8" s="21">
        <v>19.750352585379609</v>
      </c>
      <c r="H8" s="22">
        <v>20.145318158550133</v>
      </c>
    </row>
    <row r="9" spans="1:8" ht="15.75">
      <c r="B9" s="14" t="str">
        <f>IF(C7="Erlang","k =",IF(C7="Translated Exponential","Mean =",IF(C7="Uniform","Maximum Value =","")))</f>
        <v/>
      </c>
      <c r="C9" s="18">
        <v>5</v>
      </c>
      <c r="E9" s="12" t="s">
        <v>1</v>
      </c>
      <c r="F9" s="20">
        <v>7.8830724481974528E-3</v>
      </c>
      <c r="G9" s="21">
        <v>2.7689439036549472E-3</v>
      </c>
      <c r="H9" s="22">
        <v>1.2997200992739958E-2</v>
      </c>
    </row>
    <row r="10" spans="1:8">
      <c r="B10" s="15"/>
      <c r="C10" s="16"/>
      <c r="E10" s="12"/>
      <c r="F10" s="20"/>
      <c r="G10" s="21"/>
      <c r="H10" s="22"/>
    </row>
    <row r="11" spans="1:8" ht="15.75">
      <c r="B11" s="17" t="s">
        <v>15</v>
      </c>
      <c r="C11" s="16"/>
      <c r="E11" s="12" t="s">
        <v>2</v>
      </c>
      <c r="F11" s="20">
        <v>5.7547705762704932E-2</v>
      </c>
      <c r="G11" s="21">
        <v>5.5474824360204705E-2</v>
      </c>
      <c r="H11" s="22">
        <v>5.9620587165205158E-2</v>
      </c>
    </row>
    <row r="12" spans="1:8" ht="15.75">
      <c r="B12" s="14" t="s">
        <v>16</v>
      </c>
      <c r="C12" s="18" t="s">
        <v>30</v>
      </c>
      <c r="E12" s="12" t="s">
        <v>3</v>
      </c>
      <c r="F12" s="20">
        <v>0.58946473820625067</v>
      </c>
      <c r="G12" s="21">
        <v>0.58140167628665307</v>
      </c>
      <c r="H12" s="22">
        <v>0.59752780012584827</v>
      </c>
    </row>
    <row r="13" spans="1:8" ht="15.75">
      <c r="B13" s="14" t="str">
        <f>IF(C12="Constant","Value =",IF(C12="Erlang","Mean =",IF(C12="Exponential","Mean =",IF(C12="Translated Exponential","Minimum Value =","Minimum Value ="))))</f>
        <v>Minimum Value =</v>
      </c>
      <c r="C13" s="18">
        <v>10</v>
      </c>
      <c r="E13" s="12" t="s">
        <v>4</v>
      </c>
      <c r="F13" s="20">
        <v>0.31909725299827424</v>
      </c>
      <c r="G13" s="21">
        <v>0.3115312806199238</v>
      </c>
      <c r="H13" s="22">
        <v>0.32666322537662468</v>
      </c>
    </row>
    <row r="14" spans="1:8" ht="15.75">
      <c r="B14" s="14" t="str">
        <f>IF(C12="Erlang","k =",IF(C12="Translated Exponential","Mean =",IF(C12="Uniform","Maximum Value =","")))</f>
        <v>Mean =</v>
      </c>
      <c r="C14" s="18">
        <v>20</v>
      </c>
      <c r="E14" s="12" t="s">
        <v>5</v>
      </c>
      <c r="F14" s="20">
        <v>3.3364764869557001E-2</v>
      </c>
      <c r="G14" s="21">
        <v>3.0228010275363509E-2</v>
      </c>
      <c r="H14" s="22">
        <v>3.6501519463750493E-2</v>
      </c>
    </row>
    <row r="15" spans="1:8" ht="15.75">
      <c r="B15" s="15"/>
      <c r="C15" s="16"/>
      <c r="E15" s="12" t="s">
        <v>6</v>
      </c>
      <c r="F15" s="20">
        <v>5.2553816321316345E-4</v>
      </c>
      <c r="G15" s="21">
        <v>1.8459626024366302E-4</v>
      </c>
      <c r="H15" s="22">
        <v>8.6648006618266393E-4</v>
      </c>
    </row>
    <row r="16" spans="1:8" ht="15.75">
      <c r="B16" s="17" t="s">
        <v>29</v>
      </c>
      <c r="C16" s="16"/>
      <c r="E16" s="12" t="s">
        <v>7</v>
      </c>
      <c r="F16" s="20">
        <v>0</v>
      </c>
      <c r="G16" s="21">
        <v>0</v>
      </c>
      <c r="H16" s="22">
        <v>0</v>
      </c>
    </row>
    <row r="17" spans="2:8" ht="15.75">
      <c r="B17" s="14" t="s">
        <v>28</v>
      </c>
      <c r="C17" s="19">
        <v>10000</v>
      </c>
      <c r="E17" s="12" t="s">
        <v>8</v>
      </c>
      <c r="F17" s="20">
        <v>0</v>
      </c>
      <c r="G17" s="21">
        <v>0</v>
      </c>
      <c r="H17" s="22">
        <v>0</v>
      </c>
    </row>
    <row r="18" spans="2:8" ht="15.75">
      <c r="E18" s="12" t="s">
        <v>9</v>
      </c>
      <c r="F18" s="20">
        <v>0</v>
      </c>
      <c r="G18" s="21">
        <v>0</v>
      </c>
      <c r="H18" s="22">
        <v>0</v>
      </c>
    </row>
    <row r="19" spans="2:8" ht="15.75">
      <c r="E19" s="12" t="s">
        <v>10</v>
      </c>
      <c r="F19" s="20">
        <v>0</v>
      </c>
      <c r="G19" s="21">
        <v>0</v>
      </c>
      <c r="H19" s="22">
        <v>0</v>
      </c>
    </row>
    <row r="20" spans="2:8" ht="15.75">
      <c r="E20" s="12" t="s">
        <v>11</v>
      </c>
      <c r="F20" s="20">
        <v>0</v>
      </c>
      <c r="G20" s="21">
        <v>0</v>
      </c>
      <c r="H20" s="22">
        <v>0</v>
      </c>
    </row>
    <row r="21" spans="2:8" ht="16.5" thickBot="1">
      <c r="E21" s="13" t="s">
        <v>12</v>
      </c>
      <c r="F21" s="23">
        <v>0</v>
      </c>
      <c r="G21" s="24">
        <v>0</v>
      </c>
      <c r="H21" s="25">
        <v>0</v>
      </c>
    </row>
  </sheetData>
  <mergeCells count="1">
    <mergeCell ref="G4:H4"/>
  </mergeCells>
  <phoneticPr fontId="5"/>
  <conditionalFormatting sqref="C9">
    <cfRule type="expression" dxfId="3" priority="1" stopIfTrue="1">
      <formula>OR(C7="Exponential",C7="Constant")</formula>
    </cfRule>
  </conditionalFormatting>
  <conditionalFormatting sqref="C14">
    <cfRule type="expression" dxfId="2" priority="2" stopIfTrue="1">
      <formula>OR(C12="Constant",C12="Exponential")</formula>
    </cfRule>
  </conditionalFormatting>
  <dataValidations count="3">
    <dataValidation type="list" allowBlank="1" showInputMessage="1" showErrorMessage="1" sqref="C7 C12" xr:uid="{00000000-0002-0000-0300-000000000000}">
      <formula1>"Constant,Erlang,Exponential,Translated Exponential,Uniform"</formula1>
    </dataValidation>
    <dataValidation type="whole" allowBlank="1" showInputMessage="1" showErrorMessage="1" error="The number of arrivals simulated must be an integer between 1 and 1,000,000." sqref="C17" xr:uid="{00000000-0002-0000-0300-000002000000}">
      <formula1>1</formula1>
      <formula2>1000000</formula2>
    </dataValidation>
    <dataValidation type="whole" allowBlank="1" showInputMessage="1" showErrorMessage="1" error="The number of servers must be between 1 and 25 (inclusive)." sqref="C4" xr:uid="{00000000-0002-0000-0300-000003000000}">
      <formula1>1</formula1>
      <formula2>25</formula2>
    </dataValidation>
  </dataValidations>
  <printOptions headings="1" gridLines="1"/>
  <pageMargins left="0.75" right="0.75" top="1" bottom="1" header="0.5" footer="0.5"/>
  <pageSetup paperSize="0" orientation="landscape" horizontalDpi="4294967292" verticalDpi="429496729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fitToPage="1"/>
  </sheetPr>
  <dimension ref="A1:H21"/>
  <sheetViews>
    <sheetView workbookViewId="0">
      <selection activeCell="B19" sqref="B19"/>
    </sheetView>
  </sheetViews>
  <sheetFormatPr defaultColWidth="10.85546875" defaultRowHeight="12.75"/>
  <cols>
    <col min="1" max="1" width="2.85546875" style="1" customWidth="1"/>
    <col min="2" max="2" width="21.42578125" style="1" bestFit="1" customWidth="1"/>
    <col min="3" max="3" width="19.7109375" style="3" bestFit="1" customWidth="1"/>
    <col min="4" max="4" width="10.85546875" style="1" customWidth="1"/>
    <col min="5" max="5" width="5.42578125" style="1" customWidth="1"/>
    <col min="6" max="6" width="10.85546875" style="3" customWidth="1"/>
    <col min="7" max="8" width="12.85546875" style="1" customWidth="1"/>
    <col min="9" max="16384" width="10.85546875" style="1"/>
  </cols>
  <sheetData>
    <row r="1" spans="1:8" ht="18">
      <c r="A1" s="2" t="s">
        <v>13</v>
      </c>
    </row>
    <row r="3" spans="1:8" ht="13.5" thickBot="1">
      <c r="C3" s="4" t="s">
        <v>27</v>
      </c>
      <c r="F3" s="1"/>
      <c r="G3" s="5" t="s">
        <v>26</v>
      </c>
    </row>
    <row r="4" spans="1:8">
      <c r="B4" s="14" t="s">
        <v>14</v>
      </c>
      <c r="C4" s="18">
        <v>1</v>
      </c>
      <c r="E4" s="6"/>
      <c r="F4" s="7" t="s">
        <v>19</v>
      </c>
      <c r="G4" s="27" t="s">
        <v>23</v>
      </c>
      <c r="H4" s="28"/>
    </row>
    <row r="5" spans="1:8">
      <c r="B5" s="15"/>
      <c r="C5" s="16"/>
      <c r="E5" s="8"/>
      <c r="F5" s="9" t="s">
        <v>20</v>
      </c>
      <c r="G5" s="10" t="s">
        <v>21</v>
      </c>
      <c r="H5" s="11" t="s">
        <v>22</v>
      </c>
    </row>
    <row r="6" spans="1:8">
      <c r="B6" s="17" t="s">
        <v>17</v>
      </c>
      <c r="C6" s="16"/>
      <c r="E6" s="12" t="s">
        <v>24</v>
      </c>
      <c r="F6" s="20">
        <v>1.3398976636661009</v>
      </c>
      <c r="G6" s="21">
        <v>1.2625027630949019</v>
      </c>
      <c r="H6" s="22">
        <v>1.4172925642372998</v>
      </c>
    </row>
    <row r="7" spans="1:8" ht="15.75">
      <c r="B7" s="14" t="s">
        <v>16</v>
      </c>
      <c r="C7" s="18" t="s">
        <v>18</v>
      </c>
      <c r="E7" s="12" t="s">
        <v>0</v>
      </c>
      <c r="F7" s="20">
        <v>0.6767361025207711</v>
      </c>
      <c r="G7" s="21">
        <v>0.60955079186827887</v>
      </c>
      <c r="H7" s="22">
        <v>0.74392141317326332</v>
      </c>
    </row>
    <row r="8" spans="1:8">
      <c r="B8" s="14" t="str">
        <f>IF(C7="Constant","Value =",IF(C7="Erlang","Mean =",IF(C7="Exponential","Mean =",IF(C7="Translated Exponential","Minimum Value =","Minimum Value ="))))</f>
        <v>Mean =</v>
      </c>
      <c r="C8" s="18">
        <v>30</v>
      </c>
      <c r="E8" s="12" t="s">
        <v>25</v>
      </c>
      <c r="F8" s="20">
        <v>40.336653122123579</v>
      </c>
      <c r="G8" s="21">
        <v>38.583262238735777</v>
      </c>
      <c r="H8" s="22">
        <v>42.09004400551138</v>
      </c>
    </row>
    <row r="9" spans="1:8" ht="15.75">
      <c r="B9" s="14" t="str">
        <f>IF(C7="Erlang","k =",IF(C7="Translated Exponential","Mean =",IF(C7="Uniform","Maximum Value =","")))</f>
        <v/>
      </c>
      <c r="C9" s="18">
        <v>5</v>
      </c>
      <c r="E9" s="12" t="s">
        <v>1</v>
      </c>
      <c r="F9" s="20">
        <v>20.372652451613362</v>
      </c>
      <c r="G9" s="21">
        <v>18.624720955730165</v>
      </c>
      <c r="H9" s="22">
        <v>22.120583947496559</v>
      </c>
    </row>
    <row r="10" spans="1:8">
      <c r="B10" s="15"/>
      <c r="C10" s="16"/>
      <c r="E10" s="12"/>
      <c r="F10" s="20"/>
      <c r="G10" s="21"/>
      <c r="H10" s="22"/>
    </row>
    <row r="11" spans="1:8" ht="15.75">
      <c r="B11" s="17" t="s">
        <v>15</v>
      </c>
      <c r="C11" s="16"/>
      <c r="E11" s="12" t="s">
        <v>2</v>
      </c>
      <c r="F11" s="20">
        <v>0.33683843885467046</v>
      </c>
      <c r="G11" s="21">
        <v>0.32382517392500376</v>
      </c>
      <c r="H11" s="22">
        <v>0.34985170378433716</v>
      </c>
    </row>
    <row r="12" spans="1:8" ht="15.75">
      <c r="B12" s="14" t="s">
        <v>16</v>
      </c>
      <c r="C12" s="18" t="s">
        <v>32</v>
      </c>
      <c r="E12" s="12" t="s">
        <v>3</v>
      </c>
      <c r="F12" s="20">
        <v>0.31618145592326707</v>
      </c>
      <c r="G12" s="21">
        <v>0.30733718564873819</v>
      </c>
      <c r="H12" s="22">
        <v>0.32502572619779596</v>
      </c>
    </row>
    <row r="13" spans="1:8" ht="15.75">
      <c r="B13" s="14" t="str">
        <f>IF(C12="Constant","Value =",IF(C12="Erlang","Mean =",IF(C12="Exponential","Mean =",IF(C12="Translated Exponential","Minimum Value =","Minimum Value ="))))</f>
        <v>Minimum Value =</v>
      </c>
      <c r="C13" s="18">
        <v>15</v>
      </c>
      <c r="E13" s="12" t="s">
        <v>4</v>
      </c>
      <c r="F13" s="20">
        <v>0.17713252694836551</v>
      </c>
      <c r="G13" s="21">
        <v>0.17055409064774477</v>
      </c>
      <c r="H13" s="22">
        <v>0.18371096324898625</v>
      </c>
    </row>
    <row r="14" spans="1:8" ht="15.75">
      <c r="B14" s="14" t="str">
        <f>IF(C12="Erlang","k =",IF(C12="Translated Exponential","Mean =",IF(C12="Uniform","Maximum Value =","")))</f>
        <v>Maximum Value =</v>
      </c>
      <c r="C14" s="18">
        <v>25</v>
      </c>
      <c r="E14" s="12" t="s">
        <v>5</v>
      </c>
      <c r="F14" s="20">
        <v>8.7031551199367493E-2</v>
      </c>
      <c r="G14" s="21">
        <v>8.0585307797776465E-2</v>
      </c>
      <c r="H14" s="22">
        <v>9.3477794600958522E-2</v>
      </c>
    </row>
    <row r="15" spans="1:8" ht="15.75">
      <c r="B15" s="15"/>
      <c r="C15" s="16"/>
      <c r="E15" s="12" t="s">
        <v>6</v>
      </c>
      <c r="F15" s="20">
        <v>4.156512749056817E-2</v>
      </c>
      <c r="G15" s="21">
        <v>3.636151366256675E-2</v>
      </c>
      <c r="H15" s="22">
        <v>4.676874131856959E-2</v>
      </c>
    </row>
    <row r="16" spans="1:8" ht="15.75">
      <c r="B16" s="17" t="s">
        <v>29</v>
      </c>
      <c r="C16" s="16"/>
      <c r="E16" s="12" t="s">
        <v>7</v>
      </c>
      <c r="F16" s="20">
        <v>2.0588034822238428E-2</v>
      </c>
      <c r="G16" s="21">
        <v>1.6507287599514114E-2</v>
      </c>
      <c r="H16" s="22">
        <v>2.4668782044962742E-2</v>
      </c>
    </row>
    <row r="17" spans="2:8" ht="15.75">
      <c r="B17" s="14" t="s">
        <v>28</v>
      </c>
      <c r="C17" s="19">
        <v>10000</v>
      </c>
      <c r="E17" s="12" t="s">
        <v>8</v>
      </c>
      <c r="F17" s="20">
        <v>1.1014414070297058E-2</v>
      </c>
      <c r="G17" s="21">
        <v>7.9734069674021989E-3</v>
      </c>
      <c r="H17" s="22">
        <v>1.4055421173191918E-2</v>
      </c>
    </row>
    <row r="18" spans="2:8" ht="15.75">
      <c r="E18" s="12" t="s">
        <v>9</v>
      </c>
      <c r="F18" s="20">
        <v>5.8646222572953108E-3</v>
      </c>
      <c r="G18" s="21">
        <v>3.5319735434060392E-3</v>
      </c>
      <c r="H18" s="22">
        <v>8.197270971184582E-3</v>
      </c>
    </row>
    <row r="19" spans="2:8" ht="15.75">
      <c r="E19" s="12" t="s">
        <v>10</v>
      </c>
      <c r="F19" s="20">
        <v>2.6131787574099866E-3</v>
      </c>
      <c r="G19" s="21">
        <v>1.1610084069692554E-3</v>
      </c>
      <c r="H19" s="22">
        <v>4.0653491078507173E-3</v>
      </c>
    </row>
    <row r="20" spans="2:8" ht="15.75">
      <c r="E20" s="12" t="s">
        <v>11</v>
      </c>
      <c r="F20" s="20">
        <v>6.6825072758556993E-4</v>
      </c>
      <c r="G20" s="21">
        <v>1.0554711577423807E-4</v>
      </c>
      <c r="H20" s="22">
        <v>1.2309543393969019E-3</v>
      </c>
    </row>
    <row r="21" spans="2:8" ht="16.5" thickBot="1">
      <c r="E21" s="13" t="s">
        <v>12</v>
      </c>
      <c r="F21" s="23">
        <v>4.290990941487957E-4</v>
      </c>
      <c r="G21" s="24">
        <v>-1.7749952830805856E-4</v>
      </c>
      <c r="H21" s="25">
        <v>1.03569771660565E-3</v>
      </c>
    </row>
  </sheetData>
  <mergeCells count="1">
    <mergeCell ref="G4:H4"/>
  </mergeCells>
  <phoneticPr fontId="0" type="noConversion"/>
  <conditionalFormatting sqref="C9">
    <cfRule type="expression" dxfId="1" priority="1" stopIfTrue="1">
      <formula>OR(C7="Exponential",C7="Constant")</formula>
    </cfRule>
  </conditionalFormatting>
  <conditionalFormatting sqref="C14">
    <cfRule type="expression" dxfId="0" priority="2" stopIfTrue="1">
      <formula>OR(C12="Constant",C12="Exponential")</formula>
    </cfRule>
  </conditionalFormatting>
  <dataValidations count="3">
    <dataValidation type="list" allowBlank="1" showInputMessage="1" showErrorMessage="1" sqref="C7 C12" xr:uid="{00000000-0002-0000-0400-000000000000}">
      <formula1>"Constant,Erlang,Exponential,Translated Exponential,Uniform"</formula1>
    </dataValidation>
    <dataValidation type="whole" allowBlank="1" showInputMessage="1" showErrorMessage="1" error="The number of arrivals simulated must be an integer between 1 and 1,000,000." sqref="C17" xr:uid="{00000000-0002-0000-0400-000002000000}">
      <formula1>1</formula1>
      <formula2>1000000</formula2>
    </dataValidation>
    <dataValidation type="whole" allowBlank="1" showInputMessage="1" showErrorMessage="1" error="The number of servers must be between 1 and 25 (inclusive)." sqref="C4" xr:uid="{00000000-0002-0000-0400-000003000000}">
      <formula1>1</formula1>
      <formula2>25</formula2>
    </dataValidation>
  </dataValidations>
  <printOptions headings="1" gridLines="1"/>
  <pageMargins left="0.75" right="0.75" top="1" bottom="1" header="0.5" footer="0.5"/>
  <pageSetup paperSize="0" orientation="landscape" horizontalDpi="4294967292" verticalDpi="429496729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Current</vt:lpstr>
      <vt:lpstr>Proposal 1</vt:lpstr>
      <vt:lpstr>Proposal 2</vt:lpstr>
      <vt:lpstr>Proposal 1 &amp; 2</vt:lpstr>
      <vt:lpstr>Queuing 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nazanin yousefzadeh</cp:lastModifiedBy>
  <cp:lastPrinted>1999-06-01T06:51:53Z</cp:lastPrinted>
  <dcterms:created xsi:type="dcterms:W3CDTF">1999-02-21T04:48:26Z</dcterms:created>
  <dcterms:modified xsi:type="dcterms:W3CDTF">2020-03-12T18:46:43Z</dcterms:modified>
</cp:coreProperties>
</file>